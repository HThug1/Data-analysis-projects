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<sst xmlns="http://schemas.openxmlformats.org/spreadsheetml/2006/main" count="118" uniqueCount="28">
  <si>
    <t>IT Support Ticket Analysis &amp; Resolution Performance</t>
  </si>
  <si>
    <t xml:space="preserve">Issue Type </t>
  </si>
  <si>
    <t xml:space="preserve">Count </t>
  </si>
  <si>
    <t xml:space="preserve">Total Tickets </t>
  </si>
  <si>
    <t xml:space="preserve">Login Issue </t>
  </si>
  <si>
    <t>Resolved %</t>
  </si>
  <si>
    <t xml:space="preserve">Network Issue </t>
  </si>
  <si>
    <t>Escalation %</t>
  </si>
  <si>
    <t>Software Error</t>
  </si>
  <si>
    <t xml:space="preserve">Avg Resolution Time </t>
  </si>
  <si>
    <t xml:space="preserve">Hardware Issue </t>
  </si>
  <si>
    <t>Ticket_ID</t>
  </si>
  <si>
    <t>Issue_Type</t>
  </si>
  <si>
    <t>Priority</t>
  </si>
  <si>
    <t>Device</t>
  </si>
  <si>
    <t>Resolution_Time_Min</t>
  </si>
  <si>
    <t>Resolved</t>
  </si>
  <si>
    <t>Escalated</t>
  </si>
  <si>
    <t>Low</t>
  </si>
  <si>
    <t>Laptop</t>
  </si>
  <si>
    <t xml:space="preserve">Yes </t>
  </si>
  <si>
    <t>No</t>
  </si>
  <si>
    <t>High</t>
  </si>
  <si>
    <t>Desktop</t>
  </si>
  <si>
    <t>Yes</t>
  </si>
  <si>
    <t>Medium</t>
  </si>
  <si>
    <t>Hardware Issue</t>
  </si>
  <si>
    <t>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</si>
</sst>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22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Font="1"/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304800</xdr:colOff>
      <xdr:row>18</xdr:row>
      <xdr:rowOff>76200</xdr:rowOff>
    </xdr:from>
    <xdr:ext cx="4467225" cy="2971800"/>
    <xdr:pic>
      <xdr:nvPicPr>
        <xdr:cNvPr id="87532784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</xdr:row>
      <xdr:rowOff>9525</xdr:rowOff>
    </xdr:from>
    <xdr:ext cx="4467225" cy="2971800"/>
    <xdr:pic>
      <xdr:nvPicPr>
        <xdr:cNvPr id="159963758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0</xdr:row>
      <xdr:rowOff>371475</xdr:rowOff>
    </xdr:from>
    <xdr:ext cx="6448425" cy="666750"/>
    <xdr:sp>
      <xdr:nvSpPr>
        <xdr:cNvPr id="3" name="Shape 3"/>
        <xdr:cNvSpPr txBox="1"/>
      </xdr:nvSpPr>
      <xdr:spPr>
        <a:xfrm>
          <a:off x="872975" y="1025250"/>
          <a:ext cx="6433200" cy="6495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High-priority network and hardware issues drive most escalations and longer resolution times, while login issues are resolved quickly.</a:t>
          </a:r>
          <a:endParaRPr b="1"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15.13"/>
    <col customWidth="1" min="4" max="4" width="12.63"/>
    <col customWidth="1" min="5" max="5" width="20.75"/>
  </cols>
  <sheetData>
    <row r="1">
      <c r="A1" s="1"/>
      <c r="B1" s="2" t="s">
        <v>0</v>
      </c>
      <c r="F1" s="3"/>
      <c r="G1" s="3"/>
    </row>
    <row r="2">
      <c r="C2" s="3"/>
      <c r="D2" s="3"/>
      <c r="F2" s="3"/>
      <c r="G2" s="3"/>
    </row>
    <row r="3">
      <c r="C3" s="3"/>
      <c r="D3" s="3"/>
      <c r="E3" s="3"/>
      <c r="F3" s="3"/>
      <c r="G3" s="3"/>
    </row>
    <row r="4">
      <c r="C4" s="3"/>
      <c r="D4" s="3"/>
      <c r="E4" s="3"/>
      <c r="F4" s="3"/>
      <c r="G4" s="3"/>
    </row>
    <row r="5">
      <c r="C5" s="3"/>
      <c r="D5" s="3"/>
      <c r="E5" s="3"/>
      <c r="F5" s="3"/>
      <c r="G5" s="3"/>
    </row>
    <row r="6">
      <c r="B6" s="4" t="s">
        <v>1</v>
      </c>
      <c r="C6" s="5" t="s">
        <v>2</v>
      </c>
      <c r="D6" s="3"/>
      <c r="E6" s="6" t="s">
        <v>3</v>
      </c>
      <c r="F6" s="7">
        <f>COUNTA(A13:A32)</f>
        <v>20</v>
      </c>
    </row>
    <row r="7">
      <c r="B7" s="4" t="s">
        <v>4</v>
      </c>
      <c r="C7" s="7">
        <f>COUNTIF(B13:B32,"*Login Issue*")</f>
        <v>6</v>
      </c>
      <c r="D7" s="3"/>
      <c r="E7" s="6" t="s">
        <v>5</v>
      </c>
      <c r="F7" s="7" t="str">
        <f>ROUND(SUMPRODUCT(--(TRIM(F13:F32)="Yes"))/COUNTA(A13:A32)*100,1)&amp;"%"</f>
        <v>65%</v>
      </c>
    </row>
    <row r="8">
      <c r="B8" s="4" t="s">
        <v>6</v>
      </c>
      <c r="C8" s="7">
        <f>COUNTIF(B13:B32,"*Network Issue*")</f>
        <v>5</v>
      </c>
      <c r="D8" s="3"/>
      <c r="E8" s="6" t="s">
        <v>7</v>
      </c>
      <c r="F8" s="7" t="str">
        <f>ROUND(COUNTIF(G13:G32,"Yes")/COUNTA(A13:A32)*100,1)&amp;"%"</f>
        <v>35%</v>
      </c>
    </row>
    <row r="9">
      <c r="B9" s="4" t="s">
        <v>8</v>
      </c>
      <c r="C9" s="7">
        <f>COUNTIF(B13:B32,"*Software Error*")</f>
        <v>5</v>
      </c>
      <c r="D9" s="3"/>
      <c r="E9" s="6" t="s">
        <v>9</v>
      </c>
      <c r="F9" s="7" t="str">
        <f>ROUND(AVERAGE(E13:E32),1)&amp;" mins"</f>
        <v>32 mins</v>
      </c>
    </row>
    <row r="10">
      <c r="B10" s="4" t="s">
        <v>10</v>
      </c>
      <c r="C10" s="7">
        <f>COUNTIF(B13:B32,"*Hardware Issue*")</f>
        <v>4</v>
      </c>
      <c r="D10" s="3"/>
      <c r="E10" s="8"/>
      <c r="F10" s="8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</row>
    <row r="13">
      <c r="A13" s="9">
        <v>1.0</v>
      </c>
      <c r="B13" s="9" t="s">
        <v>4</v>
      </c>
      <c r="C13" s="9" t="s">
        <v>18</v>
      </c>
      <c r="D13" s="9" t="s">
        <v>19</v>
      </c>
      <c r="E13" s="9">
        <v>10.0</v>
      </c>
      <c r="F13" s="9" t="s">
        <v>20</v>
      </c>
      <c r="G13" s="9" t="s">
        <v>21</v>
      </c>
    </row>
    <row r="14">
      <c r="A14" s="9">
        <v>2.0</v>
      </c>
      <c r="B14" s="9" t="s">
        <v>6</v>
      </c>
      <c r="C14" s="9" t="s">
        <v>22</v>
      </c>
      <c r="D14" s="9" t="s">
        <v>23</v>
      </c>
      <c r="E14" s="9">
        <v>45.0</v>
      </c>
      <c r="F14" s="9" t="s">
        <v>21</v>
      </c>
      <c r="G14" s="9" t="s">
        <v>24</v>
      </c>
    </row>
    <row r="15">
      <c r="A15" s="9">
        <v>3.0</v>
      </c>
      <c r="B15" s="9" t="s">
        <v>8</v>
      </c>
      <c r="C15" s="9" t="s">
        <v>25</v>
      </c>
      <c r="D15" s="9" t="s">
        <v>19</v>
      </c>
      <c r="E15" s="9">
        <v>25.0</v>
      </c>
      <c r="F15" s="9" t="s">
        <v>20</v>
      </c>
      <c r="G15" s="9" t="s">
        <v>21</v>
      </c>
    </row>
    <row r="16">
      <c r="A16" s="9">
        <v>4.0</v>
      </c>
      <c r="B16" s="9" t="s">
        <v>26</v>
      </c>
      <c r="C16" s="9" t="s">
        <v>22</v>
      </c>
      <c r="D16" s="9" t="s">
        <v>23</v>
      </c>
      <c r="E16" s="9">
        <v>60.0</v>
      </c>
      <c r="F16" s="9" t="s">
        <v>21</v>
      </c>
      <c r="G16" s="9" t="s">
        <v>24</v>
      </c>
    </row>
    <row r="17">
      <c r="A17" s="9">
        <v>5.0</v>
      </c>
      <c r="B17" s="9" t="s">
        <v>4</v>
      </c>
      <c r="C17" s="9" t="s">
        <v>18</v>
      </c>
      <c r="D17" s="9" t="s">
        <v>27</v>
      </c>
      <c r="E17" s="9">
        <v>8.0</v>
      </c>
      <c r="F17" s="9" t="s">
        <v>20</v>
      </c>
      <c r="G17" s="9" t="s">
        <v>21</v>
      </c>
    </row>
    <row r="18">
      <c r="A18" s="9">
        <v>6.0</v>
      </c>
      <c r="B18" s="9" t="s">
        <v>6</v>
      </c>
      <c r="C18" s="9" t="s">
        <v>22</v>
      </c>
      <c r="D18" s="9" t="s">
        <v>19</v>
      </c>
      <c r="E18" s="9">
        <v>40.0</v>
      </c>
      <c r="F18" s="9" t="s">
        <v>21</v>
      </c>
      <c r="G18" s="9" t="s">
        <v>24</v>
      </c>
    </row>
    <row r="19">
      <c r="A19" s="9">
        <v>7.0</v>
      </c>
      <c r="B19" s="9" t="s">
        <v>4</v>
      </c>
      <c r="C19" s="9" t="s">
        <v>18</v>
      </c>
      <c r="D19" s="9" t="s">
        <v>27</v>
      </c>
      <c r="E19" s="9">
        <v>12.0</v>
      </c>
      <c r="F19" s="9" t="s">
        <v>20</v>
      </c>
      <c r="G19" s="9" t="s">
        <v>21</v>
      </c>
    </row>
    <row r="20">
      <c r="A20" s="9">
        <v>8.0</v>
      </c>
      <c r="B20" s="9" t="s">
        <v>8</v>
      </c>
      <c r="C20" s="9" t="s">
        <v>25</v>
      </c>
      <c r="D20" s="9" t="s">
        <v>23</v>
      </c>
      <c r="E20" s="9">
        <v>30.0</v>
      </c>
      <c r="F20" s="9" t="s">
        <v>20</v>
      </c>
      <c r="G20" s="9" t="s">
        <v>21</v>
      </c>
    </row>
    <row r="21">
      <c r="A21" s="9">
        <v>9.0</v>
      </c>
      <c r="B21" s="9" t="s">
        <v>26</v>
      </c>
      <c r="C21" s="9" t="s">
        <v>22</v>
      </c>
      <c r="D21" s="9" t="s">
        <v>23</v>
      </c>
      <c r="E21" s="9">
        <v>55.0</v>
      </c>
      <c r="F21" s="9" t="s">
        <v>21</v>
      </c>
      <c r="G21" s="9" t="s">
        <v>24</v>
      </c>
    </row>
    <row r="22">
      <c r="A22" s="9">
        <v>10.0</v>
      </c>
      <c r="B22" s="9" t="s">
        <v>6</v>
      </c>
      <c r="C22" s="9" t="s">
        <v>22</v>
      </c>
      <c r="D22" s="9" t="s">
        <v>19</v>
      </c>
      <c r="E22" s="9">
        <v>35.0</v>
      </c>
      <c r="F22" s="9" t="s">
        <v>20</v>
      </c>
      <c r="G22" s="9" t="s">
        <v>21</v>
      </c>
    </row>
    <row r="23">
      <c r="A23" s="9">
        <v>11.0</v>
      </c>
      <c r="B23" s="9" t="s">
        <v>4</v>
      </c>
      <c r="C23" s="9" t="s">
        <v>18</v>
      </c>
      <c r="D23" s="9" t="s">
        <v>19</v>
      </c>
      <c r="E23" s="9">
        <v>9.0</v>
      </c>
      <c r="F23" s="9" t="s">
        <v>20</v>
      </c>
      <c r="G23" s="9" t="s">
        <v>21</v>
      </c>
    </row>
    <row r="24">
      <c r="A24" s="9">
        <v>12.0</v>
      </c>
      <c r="B24" s="9" t="s">
        <v>8</v>
      </c>
      <c r="C24" s="9" t="s">
        <v>25</v>
      </c>
      <c r="D24" s="9" t="s">
        <v>27</v>
      </c>
      <c r="E24" s="9">
        <v>20.0</v>
      </c>
      <c r="F24" s="9" t="s">
        <v>20</v>
      </c>
      <c r="G24" s="9" t="s">
        <v>21</v>
      </c>
    </row>
    <row r="25">
      <c r="A25" s="9">
        <v>13.0</v>
      </c>
      <c r="B25" s="9" t="s">
        <v>26</v>
      </c>
      <c r="C25" s="9" t="s">
        <v>22</v>
      </c>
      <c r="D25" s="9" t="s">
        <v>23</v>
      </c>
      <c r="E25" s="9">
        <v>65.0</v>
      </c>
      <c r="F25" s="9" t="s">
        <v>21</v>
      </c>
      <c r="G25" s="9" t="s">
        <v>24</v>
      </c>
    </row>
    <row r="26">
      <c r="A26" s="9">
        <v>14.0</v>
      </c>
      <c r="B26" s="9" t="s">
        <v>6</v>
      </c>
      <c r="C26" s="9" t="s">
        <v>22</v>
      </c>
      <c r="D26" s="9" t="s">
        <v>23</v>
      </c>
      <c r="E26" s="9">
        <v>50.0</v>
      </c>
      <c r="F26" s="9" t="s">
        <v>21</v>
      </c>
      <c r="G26" s="9" t="s">
        <v>24</v>
      </c>
    </row>
    <row r="27">
      <c r="A27" s="9">
        <v>15.0</v>
      </c>
      <c r="B27" s="9" t="s">
        <v>4</v>
      </c>
      <c r="C27" s="9" t="s">
        <v>18</v>
      </c>
      <c r="D27" s="9" t="s">
        <v>27</v>
      </c>
      <c r="E27" s="9">
        <v>7.0</v>
      </c>
      <c r="F27" s="9" t="s">
        <v>20</v>
      </c>
      <c r="G27" s="9" t="s">
        <v>21</v>
      </c>
    </row>
    <row r="28">
      <c r="A28" s="9">
        <v>16.0</v>
      </c>
      <c r="B28" s="9" t="s">
        <v>8</v>
      </c>
      <c r="C28" s="9" t="s">
        <v>25</v>
      </c>
      <c r="D28" s="9" t="s">
        <v>19</v>
      </c>
      <c r="E28" s="9">
        <v>28.0</v>
      </c>
      <c r="F28" s="9" t="s">
        <v>20</v>
      </c>
      <c r="G28" s="9" t="s">
        <v>21</v>
      </c>
    </row>
    <row r="29">
      <c r="A29" s="9">
        <v>17.0</v>
      </c>
      <c r="B29" s="9" t="s">
        <v>26</v>
      </c>
      <c r="C29" s="9" t="s">
        <v>22</v>
      </c>
      <c r="D29" s="9" t="s">
        <v>23</v>
      </c>
      <c r="E29" s="9">
        <v>70.0</v>
      </c>
      <c r="F29" s="9" t="s">
        <v>21</v>
      </c>
      <c r="G29" s="9" t="s">
        <v>24</v>
      </c>
    </row>
    <row r="30">
      <c r="A30" s="9">
        <v>18.0</v>
      </c>
      <c r="B30" s="9" t="s">
        <v>6</v>
      </c>
      <c r="C30" s="9" t="s">
        <v>22</v>
      </c>
      <c r="D30" s="9" t="s">
        <v>19</v>
      </c>
      <c r="E30" s="9">
        <v>38.0</v>
      </c>
      <c r="F30" s="9" t="s">
        <v>20</v>
      </c>
      <c r="G30" s="9" t="s">
        <v>21</v>
      </c>
    </row>
    <row r="31">
      <c r="A31" s="9">
        <v>19.0</v>
      </c>
      <c r="B31" s="9" t="s">
        <v>4</v>
      </c>
      <c r="C31" s="9" t="s">
        <v>18</v>
      </c>
      <c r="D31" s="9" t="s">
        <v>19</v>
      </c>
      <c r="E31" s="9">
        <v>11.0</v>
      </c>
      <c r="F31" s="9" t="s">
        <v>20</v>
      </c>
      <c r="G31" s="9" t="s">
        <v>21</v>
      </c>
    </row>
    <row r="32">
      <c r="A32" s="9">
        <v>20.0</v>
      </c>
      <c r="B32" s="9" t="s">
        <v>8</v>
      </c>
      <c r="C32" s="9" t="s">
        <v>25</v>
      </c>
      <c r="D32" s="9" t="s">
        <v>23</v>
      </c>
      <c r="E32" s="9">
        <v>22.0</v>
      </c>
      <c r="F32" s="9" t="s">
        <v>20</v>
      </c>
      <c r="G32" s="9" t="s">
        <v>21</v>
      </c>
    </row>
  </sheetData>
  <drawing r:id="rId1"/>
</worksheet>
</file>